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bject\1_HSF302\8_ChuyenAPI\Project_HSF302_Group2-feature-iteration-1-HieuNTHS194140\Project_HSF302_Group2-feature-iteration-1-HieuNTHS194140\"/>
    </mc:Choice>
  </mc:AlternateContent>
  <xr:revisionPtr revIDLastSave="0" documentId="13_ncr:1_{291CD514-7858-45A8-BC26-E891D9A03081}" xr6:coauthVersionLast="47" xr6:coauthVersionMax="47" xr10:uidLastSave="{00000000-0000-0000-0000-000000000000}"/>
  <bookViews>
    <workbookView xWindow="-120" yWindow="-120" windowWidth="29040" windowHeight="15720" activeTab="1" xr2:uid="{4B53554A-2684-BE48-8198-9E2213A82F05}"/>
  </bookViews>
  <sheets>
    <sheet name="Dashboard" sheetId="3" r:id="rId1"/>
    <sheet name="Test Cas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3" l="1"/>
  <c r="D32" i="3"/>
  <c r="C32" i="3"/>
  <c r="B32" i="3"/>
  <c r="A32" i="3"/>
  <c r="E31" i="3"/>
  <c r="D31" i="3"/>
  <c r="C31" i="3"/>
  <c r="B31" i="3"/>
  <c r="A31" i="3"/>
  <c r="E30" i="3"/>
  <c r="D30" i="3"/>
  <c r="C30" i="3"/>
  <c r="B30" i="3"/>
  <c r="A30" i="3"/>
  <c r="E29" i="3"/>
  <c r="D29" i="3"/>
  <c r="C29" i="3"/>
  <c r="B29" i="3"/>
  <c r="A29" i="3"/>
  <c r="E28" i="3"/>
  <c r="D28" i="3"/>
  <c r="C28" i="3"/>
  <c r="B28" i="3"/>
  <c r="A28" i="3"/>
  <c r="E27" i="3"/>
  <c r="D27" i="3"/>
  <c r="C27" i="3"/>
  <c r="B27" i="3"/>
  <c r="A27" i="3"/>
  <c r="E26" i="3"/>
  <c r="D26" i="3"/>
  <c r="C26" i="3"/>
  <c r="B26" i="3"/>
  <c r="A26" i="3"/>
  <c r="E25" i="3"/>
  <c r="D25" i="3"/>
  <c r="C25" i="3"/>
  <c r="B25" i="3"/>
  <c r="A25" i="3"/>
  <c r="E24" i="3"/>
  <c r="D24" i="3"/>
  <c r="C24" i="3"/>
  <c r="B24" i="3"/>
  <c r="A24" i="3"/>
  <c r="E23" i="3"/>
  <c r="D23" i="3"/>
  <c r="C23" i="3"/>
  <c r="B23" i="3"/>
  <c r="A23" i="3"/>
  <c r="E22" i="3"/>
  <c r="D22" i="3"/>
  <c r="C22" i="3"/>
  <c r="B22" i="3"/>
  <c r="A22" i="3"/>
  <c r="E21" i="3"/>
  <c r="D21" i="3"/>
  <c r="C21" i="3"/>
  <c r="B21" i="3"/>
  <c r="A21" i="3"/>
  <c r="E20" i="3"/>
  <c r="D20" i="3"/>
  <c r="C20" i="3"/>
  <c r="B20" i="3"/>
  <c r="A20" i="3"/>
  <c r="E19" i="3"/>
  <c r="D19" i="3"/>
  <c r="C19" i="3"/>
  <c r="B19" i="3"/>
  <c r="A19" i="3"/>
  <c r="E18" i="3"/>
  <c r="D18" i="3"/>
  <c r="C18" i="3"/>
  <c r="B18" i="3"/>
  <c r="A18" i="3"/>
  <c r="E17" i="3"/>
  <c r="D17" i="3"/>
  <c r="C17" i="3"/>
  <c r="B17" i="3"/>
  <c r="A17" i="3"/>
  <c r="E16" i="3"/>
  <c r="D16" i="3"/>
  <c r="C16" i="3"/>
  <c r="B16" i="3"/>
  <c r="A16" i="3"/>
  <c r="L9" i="3"/>
  <c r="K9" i="3"/>
  <c r="J9" i="3"/>
  <c r="I9" i="3"/>
  <c r="L8" i="3"/>
  <c r="K8" i="3"/>
  <c r="J8" i="3"/>
  <c r="I8" i="3"/>
  <c r="L7" i="3"/>
  <c r="K7" i="3"/>
  <c r="J7" i="3"/>
  <c r="I7" i="3"/>
  <c r="L6" i="3"/>
  <c r="L10" i="3" s="1"/>
  <c r="K6" i="3"/>
  <c r="K10" i="3" s="1"/>
  <c r="J6" i="3"/>
  <c r="J10" i="3" s="1"/>
  <c r="I6" i="3"/>
  <c r="I10" i="3" s="1"/>
  <c r="B9" i="3"/>
  <c r="B8" i="3"/>
  <c r="B7" i="3"/>
  <c r="B6" i="3"/>
  <c r="C9" i="3" l="1"/>
  <c r="C7" i="3"/>
  <c r="B10" i="3"/>
  <c r="C8" i="3"/>
</calcChain>
</file>

<file path=xl/sharedStrings.xml><?xml version="1.0" encoding="utf-8"?>
<sst xmlns="http://schemas.openxmlformats.org/spreadsheetml/2006/main" count="253" uniqueCount="162">
  <si>
    <t>API</t>
  </si>
  <si>
    <t>Method</t>
  </si>
  <si>
    <t>GET</t>
  </si>
  <si>
    <t>POST</t>
  </si>
  <si>
    <t>ID</t>
  </si>
  <si>
    <t>UNEXECUTED</t>
  </si>
  <si>
    <t>Passed</t>
  </si>
  <si>
    <t>Failed</t>
  </si>
  <si>
    <t>Unexecuted</t>
  </si>
  <si>
    <t>Total</t>
  </si>
  <si>
    <t>DESIGN_BY</t>
  </si>
  <si>
    <t>DESIGN_DATE</t>
  </si>
  <si>
    <t>EXECUTE_BY</t>
  </si>
  <si>
    <t>EXECUTE_DATE</t>
  </si>
  <si>
    <t>NAME</t>
  </si>
  <si>
    <t>PRE-CONDITION</t>
  </si>
  <si>
    <t>METHOD</t>
  </si>
  <si>
    <t>REQUEST_HEADERS</t>
  </si>
  <si>
    <t>REQUEST_BODY</t>
  </si>
  <si>
    <t>EXPECTED_STATUS</t>
  </si>
  <si>
    <t>EXPECTED_MESSAGE</t>
  </si>
  <si>
    <t>EXPECTED_HEADERS</t>
  </si>
  <si>
    <t>EXPECTED_BODY</t>
  </si>
  <si>
    <t>ACTUAL_STATUS</t>
  </si>
  <si>
    <t>ACTUAL_MESSAGE</t>
  </si>
  <si>
    <t>ACTUAL_HEADERS</t>
  </si>
  <si>
    <t>ACTUAL_BODY</t>
  </si>
  <si>
    <t>EXECUTION_STATUS</t>
  </si>
  <si>
    <t>Content-Type: application/json</t>
  </si>
  <si>
    <t>TC_AUTH_01</t>
  </si>
  <si>
    <t>[Login] Verify login successfully with valid credentials</t>
  </si>
  <si>
    <t>User 'admin' exists in DB with BCrypt password</t>
  </si>
  <si>
    <t>/api/auth/login</t>
  </si>
  <si>
    <t>Login successful</t>
  </si>
  <si>
    <t>{"status":200,"message":"Login successful","data":{"token":"&lt;JWT_TOKEN&gt;","roles":["ROLE_ADMIN"]}}</t>
  </si>
  <si>
    <t>Nguyen Trung Hieu</t>
  </si>
  <si>
    <t>TC_AUTH_02</t>
  </si>
  <si>
    <t>[Login] Verify login fails with wrong password</t>
  </si>
  <si>
    <t>User 'admin' exists in DB</t>
  </si>
  <si>
    <t>{"username": "admin","password": "wrongpass"}</t>
  </si>
  <si>
    <t>Invalid username or password</t>
  </si>
  <si>
    <t>{"status":401,"message":"Invalid username or password","data":null}</t>
  </si>
  <si>
    <t>TC_AUTH_03</t>
  </si>
  <si>
    <t>[Google] Verify Google Login succeeds for NEW user</t>
  </si>
  <si>
    <t>Google idToken is valid; Email does NOT exist in DB</t>
  </si>
  <si>
    <t>/api/auth/google</t>
  </si>
  <si>
    <t>{"idToken": "valid_google_id_token"}</t>
  </si>
  <si>
    <t>Google Login successful</t>
  </si>
  <si>
    <t>TC_AUTH_04</t>
  </si>
  <si>
    <t>[Google] Verify Google Login fails with fake/expired token</t>
  </si>
  <si>
    <t>Google token is invalid (expired or tampered)</t>
  </si>
  <si>
    <t>{"idToken": "fake_or_expired_token"}</t>
  </si>
  <si>
    <t>Invalid Google Token</t>
  </si>
  <si>
    <t>TC_REG_01</t>
  </si>
  <si>
    <t>[Register] Verify register successfully with new email</t>
  </si>
  <si>
    <t>Email 'test@gmail.com' does NOT exist in DB; SMTP mail configured</t>
  </si>
  <si>
    <t>/api/auth/register</t>
  </si>
  <si>
    <t>OTP has been sent to your email.</t>
  </si>
  <si>
    <t>TC_REG_02</t>
  </si>
  <si>
    <t>[Register] Verify register fails with duplicate email</t>
  </si>
  <si>
    <t>Email 'exist@gmail.com' ALREADY exists in DB</t>
  </si>
  <si>
    <t>Email is already registered!</t>
  </si>
  <si>
    <t>TC_REG_03</t>
  </si>
  <si>
    <t>[Verify OTP] Verify email successfully with correct OTP</t>
  </si>
  <si>
    <t>User 'test@gmail.com' is INACTIVE; OTP '123456' is still valid in cache</t>
  </si>
  <si>
    <t>/api/auth/verify-email</t>
  </si>
  <si>
    <t>{"email":"test@gmail.com","otp":"123456"}</t>
  </si>
  <si>
    <t>Email verified successfully. Registration complete.</t>
  </si>
  <si>
    <t>TC_REG_04</t>
  </si>
  <si>
    <t>[Verify OTP] Verify email fails with wrong/expired OTP</t>
  </si>
  <si>
    <t>User 'test@gmail.com' is INACTIVE</t>
  </si>
  <si>
    <t>{"email":"test@gmail.com","otp":"000000"}</t>
  </si>
  <si>
    <t>Invalid or expired OTP.</t>
  </si>
  <si>
    <t>{"status":400,"message":"Invalid or expired OTP.","data":null}</t>
  </si>
  <si>
    <t>TC_PWD_01</t>
  </si>
  <si>
    <t>[Forgot Password] Verify OTP is sent for valid email</t>
  </si>
  <si>
    <t>User 'test@gmail.com' is ACTIVE in DB; SMTP mail configured</t>
  </si>
  <si>
    <t>/api/auth/forgot-password</t>
  </si>
  <si>
    <t>?email=test@gmail.com (Query Param)</t>
  </si>
  <si>
    <t>An OTP has been sent to your email.</t>
  </si>
  <si>
    <t>TC_PWD_02</t>
  </si>
  <si>
    <t>[Forgot Password] Verify fails for non-existent email</t>
  </si>
  <si>
    <t>Email 'notfound@gmail.com' does NOT exist in DB</t>
  </si>
  <si>
    <t>?email=notfound@gmail.com (Query Param)</t>
  </si>
  <si>
    <t>Email not found.</t>
  </si>
  <si>
    <t>TC_PWD_03</t>
  </si>
  <si>
    <t>[Set Password] Verify reset password successfully with valid OTP</t>
  </si>
  <si>
    <t>OTP '123456' is valid for 'test@gmail.com'</t>
  </si>
  <si>
    <t>/api/auth/set-password</t>
  </si>
  <si>
    <t>Password has been reset successfully.</t>
  </si>
  <si>
    <t>TC_PWD_04</t>
  </si>
  <si>
    <t>[Set Password] Verify reset password fails with wrong OTP</t>
  </si>
  <si>
    <t>User 'test@gmail.com' exists; OTP '000000' is invalid</t>
  </si>
  <si>
    <t>TC_USR_01</t>
  </si>
  <si>
    <t>[Profile] Verify get profile successfully with valid JWT Token</t>
  </si>
  <si>
    <t>User is logged in; JWT Token is valid and not expired</t>
  </si>
  <si>
    <t>/api/user/profile</t>
  </si>
  <si>
    <t>Authorization: Bearer &lt;valid_jwt_token&gt;
Content-Type: application/json</t>
  </si>
  <si>
    <t>(None)</t>
  </si>
  <si>
    <t>User profile retrieved successfully</t>
  </si>
  <si>
    <t>TC_USR_02</t>
  </si>
  <si>
    <t>[Profile] Verify get profile is rejected without JWT Token</t>
  </si>
  <si>
    <t>No token provided in request header</t>
  </si>
  <si>
    <t>Full authentication is required to access this resource</t>
  </si>
  <si>
    <t>TC_USR_03</t>
  </si>
  <si>
    <t>[Change Password] Verify change password successfully with correct old password</t>
  </si>
  <si>
    <t>User is logged in with valid JWT Token</t>
  </si>
  <si>
    <t>/api/user/change-password</t>
  </si>
  <si>
    <t>Password updated successfully</t>
  </si>
  <si>
    <t>TC_USR_04</t>
  </si>
  <si>
    <t>[Change Password] Verify change password fails with wrong old password</t>
  </si>
  <si>
    <t>Incorrect current password</t>
  </si>
  <si>
    <t>TC_USR_05</t>
  </si>
  <si>
    <t>[Complete Google Account] Verify complete profile for first-time Google user</t>
  </si>
  <si>
    <t>User logged in via Google; passwordHash = GOOGLE_OAUTH_DUMMY_HASH; phone is empty</t>
  </si>
  <si>
    <t>/api/user/complete-google-account</t>
  </si>
  <si>
    <t>Account information updated successfully</t>
  </si>
  <si>
    <t>API TEST DASHBOARD - Coffee Shop System</t>
  </si>
  <si>
    <t>Project: HSF302 Group 2  |  Author: Nguyen Trung Hieu  |  Last Updated: 01/07/2026</t>
  </si>
  <si>
    <t>OVERALL SUMMARY</t>
  </si>
  <si>
    <t>Metric</t>
  </si>
  <si>
    <t>Count</t>
  </si>
  <si>
    <t>Percentage</t>
  </si>
  <si>
    <t>Total Test Cases</t>
  </si>
  <si>
    <t>(Passed / Total)</t>
  </si>
  <si>
    <t>STATISTICS BY MODULE</t>
  </si>
  <si>
    <t>Module</t>
  </si>
  <si>
    <t>Authentication</t>
  </si>
  <si>
    <t>Registration</t>
  </si>
  <si>
    <t>Password</t>
  </si>
  <si>
    <t>User Profile</t>
  </si>
  <si>
    <t>TOTAL</t>
  </si>
  <si>
    <t>QUICK STATUS VIEW - All Test Cases</t>
  </si>
  <si>
    <t>TC ID</t>
  </si>
  <si>
    <t>Test Name</t>
  </si>
  <si>
    <t>API Endpoint</t>
  </si>
  <si>
    <t>Execution Status</t>
  </si>
  <si>
    <t>{
"username": "admin","password": "123"
}</t>
  </si>
  <si>
    <t>{
"status":200,
"message":"Google Login successful",
"data":{"token":"&lt;JWT_TOKEN&gt;",
"roles":["ROLE_CUSTOMER"]}
}</t>
  </si>
  <si>
    <t>{
"firstName":"Hieu",
"lastName":"Nguyen",
"email":"test@gmail.com",
"password":"123",
"phone":"0123456789"
}</t>
  </si>
  <si>
    <t>{
"firstName":"Hieu",
"email":"exist@gmail.com",
"password":"123",
"phone":"0999"
}</t>
  </si>
  <si>
    <t>{
"email":"test@gmail.com",
"otp":"123456",
"newPassword":"new123"
}</t>
  </si>
  <si>
    <t>{
"email":"test@gmail.com",
"otp":"000000",
"newPassword":"new123"
}</t>
  </si>
  <si>
    <t>{
"currentPassword":"old123",
"newPassword":"new123",
"confirmPassword":"new123"
}</t>
  </si>
  <si>
    <t>{
"currentPassword":"wrong",
"newPassword":"new123",
"confirmPassword":"new123"
}</t>
  </si>
  <si>
    <t>{
"phone":"0987654321",
"newPassword":"new123",
"confirmPassword":"new123"
}</t>
  </si>
  <si>
    <t>{
"status":401,
"message":"Invalid Google Token",
"data":null
}</t>
  </si>
  <si>
    <t>{
"status":200,
"message":"OTP has been sent to your email.",
"data":null
}</t>
  </si>
  <si>
    <t>{
"status":400,
"message":"Email is already registered!",
"data":null
}</t>
  </si>
  <si>
    <t>{
"status":200,
"message":"Email verified successfully. Registration complete.",
"data":null
}</t>
  </si>
  <si>
    <t>{
"status":400,
"message":"Invalid or expired OTP.",
"data":null}</t>
  </si>
  <si>
    <t>{
"status":200,
"message":"An OTP has been sent to your email.",
"data":null
}</t>
  </si>
  <si>
    <t>{
"status":404,
"message":"Email not found.",
"data":null
}</t>
  </si>
  <si>
    <t>{
"status":200,
"message":"Account information updated successfully",
"data":null
}</t>
  </si>
  <si>
    <t>{
"status":400,
"message":"Incorrect current password",
"data":null
}</t>
  </si>
  <si>
    <t>{
"status":200,
"message":"Password updated successfully",
"data":null
}</t>
  </si>
  <si>
    <t>{
"path":"/api/user/profile",
"error":"Unauthorized",
"message":"Full authentication is required to access this resource",
"status":401
}</t>
  </si>
  <si>
    <t>{
"status":200,
"message":"User profile retrieved successfully",
"data":{"email":"test@gmail.com",
"firstName":"Hieu"}
}</t>
  </si>
  <si>
    <t>{
"status":200,
"message":"Password has been reset successfully.",
"data":null
}</t>
  </si>
  <si>
    <t>Pass Rate</t>
  </si>
  <si>
    <t>FAILED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</si>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</sst>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2"/>
      <color rgb="FFFFFFFF"/>
      <name val="Calibri"/>
      <family val="2"/>
      <scheme val="minor"/>
    </font>
    <font>
      <i/>
      <sz val="10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64381F"/>
      <name val="Calibri"/>
      <family val="2"/>
      <scheme val="minor"/>
    </font>
    <font>
      <b/>
      <sz val="12"/>
      <color rgb="FF47AD70"/>
      <name val="Calibri"/>
      <family val="2"/>
      <scheme val="minor"/>
    </font>
    <font>
      <b/>
      <sz val="12"/>
      <color rgb="FF0000C0"/>
      <name val="Calibri"/>
      <family val="2"/>
      <scheme val="minor"/>
    </font>
    <font>
      <b/>
      <sz val="12"/>
      <color rgb="FF317DED"/>
      <name val="Calibri"/>
      <family val="2"/>
      <scheme val="minor"/>
    </font>
    <font>
      <b/>
      <sz val="14"/>
      <color rgb="FF47AD70"/>
      <name val="Calibri"/>
      <family val="2"/>
      <scheme val="minor"/>
    </font>
    <font>
      <sz val="12"/>
      <color rgb="FF47AD70"/>
      <name val="Calibri"/>
      <family val="2"/>
      <scheme val="minor"/>
    </font>
    <font>
      <sz val="12"/>
      <color rgb="FF0000C0"/>
      <name val="Calibri"/>
      <family val="2"/>
      <scheme val="minor"/>
    </font>
    <font>
      <sz val="12"/>
      <color rgb="FF317DED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rgb="FF000000"/>
      <name val="Calibri"/>
      <family val="2"/>
      <scheme val="minor"/>
    </font>
    <font>
      <i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64381F"/>
        <bgColor indexed="64"/>
      </patternFill>
    </fill>
    <fill>
      <patternFill patternType="solid">
        <fgColor rgb="FFB6752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4472C4"/>
      </right>
      <top style="thin">
        <color rgb="FF4472C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left" vertical="top"/>
    </xf>
    <xf numFmtId="0" fontId="5" fillId="4" borderId="2" xfId="0" applyFont="1" applyFill="1" applyBorder="1"/>
    <xf numFmtId="0" fontId="7" fillId="0" borderId="2" xfId="0" applyFont="1" applyBorder="1" applyAlignment="1">
      <alignment horizontal="center"/>
    </xf>
    <xf numFmtId="9" fontId="0" fillId="0" borderId="2" xfId="0" applyNumberForma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1" fillId="0" borderId="2" xfId="0" applyFont="1" applyBorder="1"/>
    <xf numFmtId="0" fontId="0" fillId="0" borderId="2" xfId="0" applyBorder="1"/>
    <xf numFmtId="0" fontId="12" fillId="0" borderId="2" xfId="0" applyFont="1" applyBorder="1"/>
    <xf numFmtId="0" fontId="13" fillId="0" borderId="2" xfId="0" applyFont="1" applyBorder="1"/>
    <xf numFmtId="0" fontId="14" fillId="0" borderId="2" xfId="0" applyFont="1" applyBorder="1"/>
    <xf numFmtId="0" fontId="1" fillId="5" borderId="0" xfId="0" applyFont="1" applyFill="1" applyAlignment="1">
      <alignment horizontal="left" vertical="top"/>
    </xf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6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15" fillId="0" borderId="0" xfId="0" applyFont="1" applyAlignment="1">
      <alignment horizontal="left" vertical="top"/>
    </xf>
    <xf numFmtId="0" fontId="16" fillId="0" borderId="1" xfId="0" applyFont="1" applyBorder="1" applyAlignment="1">
      <alignment horizontal="left" vertical="top"/>
    </xf>
    <xf numFmtId="0" fontId="17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15" fontId="15" fillId="0" borderId="0" xfId="0" applyNumberFormat="1" applyFont="1" applyAlignment="1">
      <alignment horizontal="left" vertical="top"/>
    </xf>
    <xf numFmtId="0" fontId="17" fillId="0" borderId="0" xfId="0" applyFont="1" applyAlignment="1">
      <alignment horizontal="left" vertical="top"/>
    </xf>
  </cellXfs>
  <cellStyles count="1">
    <cellStyle name="Normal" xfId="0" builtinId="0"/>
  </cellStyles>
  <dxfs count="2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00579C"/>
      </font>
      <fill>
        <patternFill>
          <bgColor rgb="FF9CEBFF"/>
        </patternFill>
      </fill>
    </dxf>
    <dxf>
      <font>
        <b/>
        <i val="0"/>
        <color rgb="FF0000C0"/>
      </font>
      <fill>
        <patternFill>
          <bgColor rgb="FFCEC7FF"/>
        </patternFill>
      </fill>
    </dxf>
    <dxf>
      <font>
        <b/>
        <i val="0"/>
        <color rgb="FF235637"/>
      </font>
      <fill>
        <patternFill>
          <bgColor rgb="FFCEEFC6"/>
        </patternFill>
      </fill>
    </dxf>
    <dxf>
      <font>
        <strike val="0"/>
        <outline val="0"/>
        <shadow val="0"/>
        <u val="none"/>
        <vertAlign val="baseline"/>
        <sz val="20"/>
        <name val="Calibri"/>
        <family val="2"/>
        <scheme val="minor"/>
      </font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Calibri"/>
        <family val="2"/>
        <scheme val="minor"/>
      </font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Calibri"/>
        <family val="2"/>
        <scheme val="minor"/>
      </font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Calibri"/>
        <family val="2"/>
        <scheme val="minor"/>
      </font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Calibri"/>
        <family val="2"/>
        <scheme val="minor"/>
      </font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Calibri"/>
        <family val="2"/>
        <scheme val="minor"/>
      </font>
      <alignment horizontal="left" vertical="top" textRotation="0" indent="0" justifyLastLine="0" shrinkToFit="0" readingOrder="0"/>
    </dxf>
    <dxf>
      <font>
        <i/>
        <strike val="0"/>
        <outline val="0"/>
        <shadow val="0"/>
        <u val="none"/>
        <vertAlign val="baseline"/>
        <sz val="20"/>
        <name val="Calibri"/>
        <family val="2"/>
        <scheme val="minor"/>
      </font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Calibri"/>
        <family val="2"/>
        <scheme val="minor"/>
      </font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Calibri"/>
        <family val="2"/>
        <scheme val="minor"/>
      </font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Calibri"/>
        <family val="2"/>
        <scheme val="minor"/>
      </font>
      <alignment horizontal="left" vertical="top" textRotation="0" indent="0" justifyLastLine="0" shrinkToFit="0" readingOrder="0"/>
    </dxf>
    <dxf>
      <font>
        <i/>
        <strike val="0"/>
        <outline val="0"/>
        <shadow val="0"/>
        <u val="none"/>
        <vertAlign val="baseline"/>
        <sz val="20"/>
        <name val="Calibri"/>
        <family val="2"/>
        <scheme val="minor"/>
      </font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Calibri"/>
        <family val="2"/>
        <scheme val="minor"/>
      </font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Calibri"/>
        <family val="2"/>
        <scheme val="minor"/>
      </font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Calibri"/>
        <family val="2"/>
        <scheme val="minor"/>
      </font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Calibri"/>
        <family val="2"/>
        <scheme val="minor"/>
      </font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Calibri"/>
        <family val="2"/>
        <scheme val="minor"/>
      </font>
      <alignment horizontal="left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Calibri"/>
        <family val="2"/>
        <scheme val="minor"/>
      </font>
      <alignment horizontal="left" vertical="top" textRotation="0" indent="0" justifyLastLine="0" shrinkToFit="0" readingOrder="0"/>
      <border diagonalUp="0" diagonalDown="0" outline="0">
        <left/>
        <right style="thin">
          <color rgb="FF4472C4"/>
        </right>
        <top style="thin">
          <color rgb="FF4472C4"/>
        </top>
        <bottom/>
      </border>
    </dxf>
    <dxf>
      <font>
        <strike val="0"/>
        <outline val="0"/>
        <shadow val="0"/>
        <u val="none"/>
        <vertAlign val="baseline"/>
        <sz val="20"/>
        <name val="Calibri"/>
        <family val="2"/>
        <scheme val="minor"/>
      </font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Calibri"/>
        <family val="2"/>
        <scheme val="minor"/>
      </font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Calibri"/>
        <family val="2"/>
        <scheme val="minor"/>
      </font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Calibri"/>
        <family val="2"/>
        <scheme val="minor"/>
      </font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left"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n-US"/>
              <a:t>Test Execution Status</a:t>
            </a:r>
          </a:p>
        </c:rich>
      </c:tx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v>Test Execution</c:v>
          </c:tx>
          <c:explosion val="25"/>
          <c:dPt>
            <c:idx val="0"/>
            <c:bubble3D val="0"/>
            <c:spPr>
              <a:solidFill>
                <a:srgbClr val="47AD70"/>
              </a:solidFill>
            </c:spPr>
            <c:extLst>
              <c:ext xmlns:c16="http://schemas.microsoft.com/office/drawing/2014/chart" uri="{C3380CC4-5D6E-409C-BE32-E72D297353CC}">
                <c16:uniqueId val="{00000003-EE57-43FB-8228-B56A523B34EB}"/>
              </c:ext>
            </c:extLst>
          </c:dPt>
          <c:dPt>
            <c:idx val="1"/>
            <c:bubble3D val="0"/>
            <c:spPr>
              <a:solidFill>
                <a:srgbClr val="0000C0"/>
              </a:solidFill>
            </c:spPr>
            <c:extLst>
              <c:ext xmlns:c16="http://schemas.microsoft.com/office/drawing/2014/chart" uri="{C3380CC4-5D6E-409C-BE32-E72D297353CC}">
                <c16:uniqueId val="{00000004-EE57-43FB-8228-B56A523B34EB}"/>
              </c:ext>
            </c:extLst>
          </c:dPt>
          <c:dPt>
            <c:idx val="2"/>
            <c:bubble3D val="0"/>
            <c:spPr>
              <a:solidFill>
                <a:srgbClr val="317DED"/>
              </a:solidFill>
            </c:spPr>
            <c:extLst>
              <c:ext xmlns:c16="http://schemas.microsoft.com/office/drawing/2014/chart" uri="{C3380CC4-5D6E-409C-BE32-E72D297353CC}">
                <c16:uniqueId val="{00000005-EE57-43FB-8228-B56A523B34EB}"/>
              </c:ext>
            </c:extLst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PASSED</c:v>
              </c:pt>
              <c:pt idx="1">
                <c:v>FAILED</c:v>
              </c:pt>
              <c:pt idx="2">
                <c:v>UNEXECUTED</c:v>
              </c:pt>
            </c:strLit>
          </c:cat>
          <c:val>
            <c:numRef>
              <c:f>Dashboard!$B$7:$B$9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57-43FB-8228-B56A523B3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/>
              <a:t>Test Cases by Module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385288795422311"/>
          <c:y val="0.25341118642475852"/>
          <c:w val="0.86100077552417753"/>
          <c:h val="0.666860568870243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Dashboard!$H$6</c:f>
              <c:strCache>
                <c:ptCount val="1"/>
                <c:pt idx="0">
                  <c:v>Authentication</c:v>
                </c:pt>
              </c:strCache>
            </c:strRef>
          </c:tx>
          <c:invertIfNegative val="0"/>
          <c:cat>
            <c:strRef>
              <c:f>Dashboard!$I$5:$L$5</c:f>
              <c:strCache>
                <c:ptCount val="4"/>
                <c:pt idx="0">
                  <c:v>Total</c:v>
                </c:pt>
                <c:pt idx="1">
                  <c:v>Passed</c:v>
                </c:pt>
                <c:pt idx="2">
                  <c:v>Failed</c:v>
                </c:pt>
                <c:pt idx="3">
                  <c:v>Unexecuted</c:v>
                </c:pt>
              </c:strCache>
            </c:strRef>
          </c:cat>
          <c:val>
            <c:numRef>
              <c:f>Dashboard!$I$6:$L$6</c:f>
              <c:numCache>
                <c:formatCode>General</c:formatCode>
                <c:ptCount val="4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76-406C-88E8-90D2F104AACF}"/>
            </c:ext>
          </c:extLst>
        </c:ser>
        <c:ser>
          <c:idx val="1"/>
          <c:order val="1"/>
          <c:tx>
            <c:strRef>
              <c:f>Dashboard!$H$7</c:f>
              <c:strCache>
                <c:ptCount val="1"/>
                <c:pt idx="0">
                  <c:v>Registration</c:v>
                </c:pt>
              </c:strCache>
            </c:strRef>
          </c:tx>
          <c:invertIfNegative val="0"/>
          <c:cat>
            <c:strRef>
              <c:f>Dashboard!$I$5:$L$5</c:f>
              <c:strCache>
                <c:ptCount val="4"/>
                <c:pt idx="0">
                  <c:v>Total</c:v>
                </c:pt>
                <c:pt idx="1">
                  <c:v>Passed</c:v>
                </c:pt>
                <c:pt idx="2">
                  <c:v>Failed</c:v>
                </c:pt>
                <c:pt idx="3">
                  <c:v>Unexecuted</c:v>
                </c:pt>
              </c:strCache>
            </c:strRef>
          </c:cat>
          <c:val>
            <c:numRef>
              <c:f>Dashboard!$I$7:$L$7</c:f>
              <c:numCache>
                <c:formatCode>General</c:formatCode>
                <c:ptCount val="4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C76-406C-88E8-90D2F104AACF}"/>
            </c:ext>
          </c:extLst>
        </c:ser>
        <c:ser>
          <c:idx val="2"/>
          <c:order val="2"/>
          <c:tx>
            <c:strRef>
              <c:f>Dashboard!$H$8</c:f>
              <c:strCache>
                <c:ptCount val="1"/>
                <c:pt idx="0">
                  <c:v>Password</c:v>
                </c:pt>
              </c:strCache>
            </c:strRef>
          </c:tx>
          <c:invertIfNegative val="0"/>
          <c:cat>
            <c:strRef>
              <c:f>Dashboard!$I$5:$L$5</c:f>
              <c:strCache>
                <c:ptCount val="4"/>
                <c:pt idx="0">
                  <c:v>Total</c:v>
                </c:pt>
                <c:pt idx="1">
                  <c:v>Passed</c:v>
                </c:pt>
                <c:pt idx="2">
                  <c:v>Failed</c:v>
                </c:pt>
                <c:pt idx="3">
                  <c:v>Unexecuted</c:v>
                </c:pt>
              </c:strCache>
            </c:strRef>
          </c:cat>
          <c:val>
            <c:numRef>
              <c:f>Dashboard!$I$8:$L$8</c:f>
              <c:numCache>
                <c:formatCode>General</c:formatCode>
                <c:ptCount val="4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C76-406C-88E8-90D2F104AACF}"/>
            </c:ext>
          </c:extLst>
        </c:ser>
        <c:ser>
          <c:idx val="3"/>
          <c:order val="3"/>
          <c:tx>
            <c:strRef>
              <c:f>Dashboard!$H$9</c:f>
              <c:strCache>
                <c:ptCount val="1"/>
                <c:pt idx="0">
                  <c:v>User Profile</c:v>
                </c:pt>
              </c:strCache>
            </c:strRef>
          </c:tx>
          <c:invertIfNegative val="0"/>
          <c:cat>
            <c:strRef>
              <c:f>Dashboard!$I$5:$L$5</c:f>
              <c:strCache>
                <c:ptCount val="4"/>
                <c:pt idx="0">
                  <c:v>Total</c:v>
                </c:pt>
                <c:pt idx="1">
                  <c:v>Passed</c:v>
                </c:pt>
                <c:pt idx="2">
                  <c:v>Failed</c:v>
                </c:pt>
                <c:pt idx="3">
                  <c:v>Unexecuted</c:v>
                </c:pt>
              </c:strCache>
            </c:strRef>
          </c:cat>
          <c:val>
            <c:numRef>
              <c:f>Dashboard!$I$9:$L$9</c:f>
              <c:numCache>
                <c:formatCode>General</c:formatCode>
                <c:ptCount val="4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C76-406C-88E8-90D2F104A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2173808"/>
        <c:axId val="1261798928"/>
      </c:barChart>
      <c:catAx>
        <c:axId val="134217380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261798928"/>
        <c:crosses val="autoZero"/>
        <c:auto val="1"/>
        <c:lblAlgn val="ctr"/>
        <c:lblOffset val="100"/>
        <c:noMultiLvlLbl val="0"/>
      </c:catAx>
      <c:valAx>
        <c:axId val="1261798928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342173808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34925</xdr:colOff>
      <xdr:row>28</xdr:row>
      <xdr:rowOff>63500</xdr:rowOff>
    </xdr:from>
    <xdr:to>
      <xdr:col>12</xdr:col>
      <xdr:colOff>76200</xdr:colOff>
      <xdr:row>40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4E60FB-FC0B-69B9-5C9E-6F4F8A24E8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47625</xdr:colOff>
      <xdr:row>14</xdr:row>
      <xdr:rowOff>53975</xdr:rowOff>
    </xdr:from>
    <xdr:to>
      <xdr:col>12</xdr:col>
      <xdr:colOff>47625</xdr:colOff>
      <xdr:row>28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BAE9B2-FEF4-41F9-6FEB-3C0C4A0DCC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005F5F6-5EDF-B14A-8E6C-2BA06C6A6CC4}" name="Table4" displayName="Table4" ref="A1:T18" totalsRowShown="0" headerRowDxfId="27" dataDxfId="6">
  <autoFilter ref="A1:T18" xr:uid="{C005F5F6-5EDF-B14A-8E6C-2BA06C6A6CC4}"/>
  <tableColumns count="20">
    <tableColumn id="1" xr3:uid="{2AC46FD6-ED38-794F-B58F-9879095631BB}" name="ID" dataDxfId="26"/>
    <tableColumn id="2" xr3:uid="{728FF34B-E6EC-E247-B7A8-AFE7BD7397B4}" name="NAME" dataDxfId="25"/>
    <tableColumn id="3" xr3:uid="{390767B2-38AF-7740-80A6-535A6D18E270}" name="PRE-CONDITION" dataDxfId="24"/>
    <tableColumn id="4" xr3:uid="{7256922B-4FCC-BB43-A3C7-8F2626E4FD6D}" name="METHOD" dataDxfId="23"/>
    <tableColumn id="5" xr3:uid="{8830259A-ABE7-2A4E-8EA7-0CBE42BC2E89}" name="API" dataDxfId="22"/>
    <tableColumn id="6" xr3:uid="{57290700-52DE-024D-9971-32BB58A1C404}" name="REQUEST_HEADERS" dataDxfId="21"/>
    <tableColumn id="7" xr3:uid="{14D32675-604A-6341-914D-2061CB82C881}" name="REQUEST_BODY" dataDxfId="20"/>
    <tableColumn id="8" xr3:uid="{B02D998B-4566-FC46-BCDC-16447FF37948}" name="EXPECTED_STATUS" dataDxfId="19"/>
    <tableColumn id="9" xr3:uid="{DA739F92-03B8-DC41-B79D-7D752825E4C4}" name="EXPECTED_MESSAGE" dataDxfId="18"/>
    <tableColumn id="10" xr3:uid="{E2433B2B-016C-3345-8FF4-10D89D02CFE0}" name="EXPECTED_HEADERS" dataDxfId="17"/>
    <tableColumn id="11" xr3:uid="{3DA27B88-45B8-654C-AE5D-52693DFCB723}" name="EXPECTED_BODY" dataDxfId="16"/>
    <tableColumn id="12" xr3:uid="{204C31CC-EC2F-B544-A948-F7B1AFCBA580}" name="ACTUAL_STATUS" dataDxfId="15"/>
    <tableColumn id="13" xr3:uid="{BE64B02A-2A30-A740-B837-DA3ADF193350}" name="ACTUAL_MESSAGE" dataDxfId="14"/>
    <tableColumn id="14" xr3:uid="{952A1CC3-F490-7149-BBFD-643E6D6FC571}" name="ACTUAL_HEADERS" dataDxfId="13"/>
    <tableColumn id="15" xr3:uid="{38F7A914-7ED2-144C-9E3F-DE12C1721C66}" name="ACTUAL_BODY" dataDxfId="12"/>
    <tableColumn id="16" xr3:uid="{B473DA77-DEB9-BD4D-8BF1-3D58C49C5792}" name="EXECUTION_STATUS" dataDxfId="11"/>
    <tableColumn id="17" xr3:uid="{E6EDA436-222B-AD44-A410-72ADE4A01210}" name="DESIGN_BY" dataDxfId="10"/>
    <tableColumn id="18" xr3:uid="{285CF09A-1A40-F24A-A452-AA97C7C5C19F}" name="DESIGN_DATE" dataDxfId="9"/>
    <tableColumn id="19" xr3:uid="{78404528-9EAC-D74E-9973-77A291E690C4}" name="EXECUTE_BY" dataDxfId="8"/>
    <tableColumn id="20" xr3:uid="{CE9F0E0B-E36F-A84F-8DAF-F8CCEEE79F0B}" name="EXECUTE_DATE" dataDxfId="7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D8742-4A1A-4158-B701-2DEB0F7C6BE9}">
  <dimension ref="A1:L32"/>
  <sheetViews>
    <sheetView workbookViewId="0">
      <selection activeCell="C9" sqref="C9"/>
    </sheetView>
  </sheetViews>
  <sheetFormatPr defaultRowHeight="15.75" x14ac:dyDescent="0.25"/>
  <cols>
    <col min="1" max="1" width="14.625" customWidth="1"/>
    <col min="2" max="2" width="45.625" customWidth="1"/>
    <col min="3" max="3" width="10.625" customWidth="1"/>
    <col min="4" max="4" width="28.625" customWidth="1"/>
    <col min="5" max="5" width="16.625" customWidth="1"/>
    <col min="8" max="8" width="18.625" customWidth="1"/>
    <col min="9" max="12" width="12.625" customWidth="1"/>
  </cols>
  <sheetData>
    <row r="1" spans="1:12" ht="50.1" customHeight="1" x14ac:dyDescent="0.25">
      <c r="A1" s="17" t="s">
        <v>117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ht="20.100000000000001" customHeight="1" x14ac:dyDescent="0.25">
      <c r="A2" s="19" t="s">
        <v>118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15" customHeight="1" x14ac:dyDescent="0.25"/>
    <row r="4" spans="1:12" ht="24.95" customHeight="1" x14ac:dyDescent="0.25">
      <c r="A4" s="21" t="s">
        <v>119</v>
      </c>
      <c r="B4" s="22"/>
      <c r="C4" s="22"/>
      <c r="D4" s="22"/>
      <c r="E4" s="22"/>
      <c r="F4" s="22"/>
      <c r="H4" s="21" t="s">
        <v>125</v>
      </c>
      <c r="I4" s="22"/>
      <c r="J4" s="22"/>
      <c r="K4" s="22"/>
      <c r="L4" s="22"/>
    </row>
    <row r="5" spans="1:12" ht="21.95" customHeight="1" x14ac:dyDescent="0.25">
      <c r="A5" s="15" t="s">
        <v>120</v>
      </c>
      <c r="B5" s="15" t="s">
        <v>121</v>
      </c>
      <c r="C5" s="15" t="s">
        <v>122</v>
      </c>
      <c r="H5" s="15" t="s">
        <v>126</v>
      </c>
      <c r="I5" s="15" t="s">
        <v>9</v>
      </c>
      <c r="J5" s="15" t="s">
        <v>6</v>
      </c>
      <c r="K5" s="15" t="s">
        <v>7</v>
      </c>
      <c r="L5" s="15" t="s">
        <v>8</v>
      </c>
    </row>
    <row r="6" spans="1:12" ht="21.95" customHeight="1" x14ac:dyDescent="0.25">
      <c r="A6" s="2" t="s">
        <v>123</v>
      </c>
      <c r="B6" s="3">
        <f>COUNTA('Test Cases'!A2:A1000)</f>
        <v>17</v>
      </c>
      <c r="C6" s="4">
        <v>1</v>
      </c>
      <c r="H6" s="2" t="s">
        <v>127</v>
      </c>
      <c r="I6" s="10">
        <f>COUNTIF('Test Cases'!A:A,"TC_AUTH*")</f>
        <v>4</v>
      </c>
      <c r="J6" s="11">
        <f>COUNTIFS('Test Cases'!A:A,"TC_AUTH*",'Test Cases'!P:P,"PASSED")</f>
        <v>0</v>
      </c>
      <c r="K6" s="12">
        <f>COUNTIFS('Test Cases'!A:A,"TC_AUTH*",'Test Cases'!P:P,"FAILED")</f>
        <v>0</v>
      </c>
      <c r="L6" s="13">
        <f>COUNTIFS('Test Cases'!A:A,"TC_AUTH*",'Test Cases'!P:P,"UNEXECUTED")</f>
        <v>4</v>
      </c>
    </row>
    <row r="7" spans="1:12" ht="21.95" customHeight="1" x14ac:dyDescent="0.25">
      <c r="A7" s="2" t="s">
        <v>161</v>
      </c>
      <c r="B7" s="5">
        <f>COUNTIF('Test Cases'!P2:P1000,"PASSED")</f>
        <v>0</v>
      </c>
      <c r="C7" s="6" t="str">
        <f>IF(B6=0,"N/A",TEXT(B7/B6,"0.0%"))</f>
        <v>0.0%</v>
      </c>
      <c r="H7" s="2" t="s">
        <v>128</v>
      </c>
      <c r="I7" s="10">
        <f>COUNTIF('Test Cases'!A:A,"TC_REG*")</f>
        <v>4</v>
      </c>
      <c r="J7" s="11">
        <f>COUNTIFS('Test Cases'!A:A,"TC_REG*",'Test Cases'!P:P,"PASSED")</f>
        <v>0</v>
      </c>
      <c r="K7" s="12">
        <f>COUNTIFS('Test Cases'!A:A,"TC_REG*",'Test Cases'!P:P,"FAILED")</f>
        <v>0</v>
      </c>
      <c r="L7" s="13">
        <f>COUNTIFS('Test Cases'!A:A,"TC_REG*",'Test Cases'!P:P,"UNEXECUTED")</f>
        <v>4</v>
      </c>
    </row>
    <row r="8" spans="1:12" ht="21.95" customHeight="1" x14ac:dyDescent="0.25">
      <c r="A8" s="2" t="s">
        <v>160</v>
      </c>
      <c r="B8" s="7">
        <f>COUNTIF('Test Cases'!P2:P1000,"FAILED")</f>
        <v>0</v>
      </c>
      <c r="C8" s="6" t="str">
        <f>IF(B6=0,"N/A",TEXT(B8/B6,"0.0%"))</f>
        <v>0.0%</v>
      </c>
      <c r="H8" s="2" t="s">
        <v>129</v>
      </c>
      <c r="I8" s="10">
        <f>COUNTIF('Test Cases'!A:A,"TC_PWD*")</f>
        <v>4</v>
      </c>
      <c r="J8" s="11">
        <f>COUNTIFS('Test Cases'!A:A,"TC_PWD*",'Test Cases'!P:P,"PASSED")</f>
        <v>0</v>
      </c>
      <c r="K8" s="12">
        <f>COUNTIFS('Test Cases'!A:A,"TC_PWD*",'Test Cases'!P:P,"FAILED")</f>
        <v>0</v>
      </c>
      <c r="L8" s="13">
        <f>COUNTIFS('Test Cases'!A:A,"TC_PWD*",'Test Cases'!P:P,"UNEXECUTED")</f>
        <v>4</v>
      </c>
    </row>
    <row r="9" spans="1:12" ht="21.95" customHeight="1" x14ac:dyDescent="0.25">
      <c r="A9" s="2" t="s">
        <v>5</v>
      </c>
      <c r="B9" s="8">
        <f>COUNTIF('Test Cases'!P2:P1000,"UNEXECUTED")</f>
        <v>17</v>
      </c>
      <c r="C9" s="6" t="str">
        <f>IF(B6=0,"N/A",TEXT(B9/B6,"0.0%"))</f>
        <v>100.0%</v>
      </c>
      <c r="H9" s="2" t="s">
        <v>130</v>
      </c>
      <c r="I9" s="10">
        <f>COUNTIF('Test Cases'!A:A,"TC_USR*")</f>
        <v>5</v>
      </c>
      <c r="J9" s="11">
        <f>COUNTIFS('Test Cases'!A:A,"TC_USR*",'Test Cases'!P:P,"PASSED")</f>
        <v>0</v>
      </c>
      <c r="K9" s="12">
        <f>COUNTIFS('Test Cases'!A:A,"TC_USR*",'Test Cases'!P:P,"FAILED")</f>
        <v>0</v>
      </c>
      <c r="L9" s="13">
        <f>COUNTIFS('Test Cases'!A:A,"TC_USR*",'Test Cases'!P:P,"UNEXECUTED")</f>
        <v>5</v>
      </c>
    </row>
    <row r="10" spans="1:12" ht="21.95" customHeight="1" x14ac:dyDescent="0.3">
      <c r="A10" s="2" t="s">
        <v>159</v>
      </c>
      <c r="B10" s="9" t="str">
        <f>IF(B6=0,"N/A",TEXT(B7/B6,"0.0%"))</f>
        <v>0.0%</v>
      </c>
      <c r="C10" s="10" t="s">
        <v>124</v>
      </c>
      <c r="H10" s="16" t="s">
        <v>131</v>
      </c>
      <c r="I10" s="16">
        <f>SUM(I6:I9)</f>
        <v>17</v>
      </c>
      <c r="J10" s="16">
        <f>SUM(J6:J9)</f>
        <v>0</v>
      </c>
      <c r="K10" s="16">
        <f>SUM(K6:K9)</f>
        <v>0</v>
      </c>
      <c r="L10" s="16">
        <f>SUM(L6:L9)</f>
        <v>17</v>
      </c>
    </row>
    <row r="14" spans="1:12" ht="24.95" customHeight="1" x14ac:dyDescent="0.25">
      <c r="A14" s="21" t="s">
        <v>132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</row>
    <row r="15" spans="1:12" ht="21.95" customHeight="1" x14ac:dyDescent="0.25">
      <c r="A15" s="15" t="s">
        <v>133</v>
      </c>
      <c r="B15" s="15" t="s">
        <v>134</v>
      </c>
      <c r="C15" s="15" t="s">
        <v>1</v>
      </c>
      <c r="D15" s="15" t="s">
        <v>135</v>
      </c>
      <c r="E15" s="15" t="s">
        <v>136</v>
      </c>
    </row>
    <row r="16" spans="1:12" ht="18" customHeight="1" x14ac:dyDescent="0.25">
      <c r="A16" s="10" t="str">
        <f>'Test Cases'!A2</f>
        <v>TC_AUTH_01</v>
      </c>
      <c r="B16" s="10" t="str">
        <f>'Test Cases'!B2</f>
        <v>[Login] Verify login successfully with valid credentials</v>
      </c>
      <c r="C16" s="10" t="str">
        <f>'Test Cases'!D2</f>
        <v>POST</v>
      </c>
      <c r="D16" s="10" t="str">
        <f>'Test Cases'!E2</f>
        <v>/api/auth/login</v>
      </c>
      <c r="E16" s="10" t="str">
        <f>'Test Cases'!P2</f>
        <v>UNEXECUTED</v>
      </c>
    </row>
    <row r="17" spans="1:5" ht="18" customHeight="1" x14ac:dyDescent="0.25">
      <c r="A17" s="10" t="str">
        <f>'Test Cases'!A3</f>
        <v>TC_AUTH_02</v>
      </c>
      <c r="B17" s="10" t="str">
        <f>'Test Cases'!B3</f>
        <v>[Login] Verify login fails with wrong password</v>
      </c>
      <c r="C17" s="10" t="str">
        <f>'Test Cases'!D3</f>
        <v>POST</v>
      </c>
      <c r="D17" s="10" t="str">
        <f>'Test Cases'!E3</f>
        <v>/api/auth/login</v>
      </c>
      <c r="E17" s="10" t="str">
        <f>'Test Cases'!P3</f>
        <v>UNEXECUTED</v>
      </c>
    </row>
    <row r="18" spans="1:5" ht="18" customHeight="1" x14ac:dyDescent="0.25">
      <c r="A18" s="10" t="str">
        <f>'Test Cases'!A4</f>
        <v>TC_AUTH_03</v>
      </c>
      <c r="B18" s="10" t="str">
        <f>'Test Cases'!B4</f>
        <v>[Google] Verify Google Login succeeds for NEW user</v>
      </c>
      <c r="C18" s="10" t="str">
        <f>'Test Cases'!D4</f>
        <v>POST</v>
      </c>
      <c r="D18" s="10" t="str">
        <f>'Test Cases'!E4</f>
        <v>/api/auth/google</v>
      </c>
      <c r="E18" s="10" t="str">
        <f>'Test Cases'!P4</f>
        <v>UNEXECUTED</v>
      </c>
    </row>
    <row r="19" spans="1:5" ht="18" customHeight="1" x14ac:dyDescent="0.25">
      <c r="A19" s="10" t="str">
        <f>'Test Cases'!A5</f>
        <v>TC_AUTH_04</v>
      </c>
      <c r="B19" s="10" t="str">
        <f>'Test Cases'!B5</f>
        <v>[Google] Verify Google Login fails with fake/expired token</v>
      </c>
      <c r="C19" s="10" t="str">
        <f>'Test Cases'!D5</f>
        <v>POST</v>
      </c>
      <c r="D19" s="10" t="str">
        <f>'Test Cases'!E5</f>
        <v>/api/auth/google</v>
      </c>
      <c r="E19" s="10" t="str">
        <f>'Test Cases'!P5</f>
        <v>UNEXECUTED</v>
      </c>
    </row>
    <row r="20" spans="1:5" ht="18" customHeight="1" x14ac:dyDescent="0.25">
      <c r="A20" s="10" t="str">
        <f>'Test Cases'!A6</f>
        <v>TC_REG_01</v>
      </c>
      <c r="B20" s="10" t="str">
        <f>'Test Cases'!B6</f>
        <v>[Register] Verify register successfully with new email</v>
      </c>
      <c r="C20" s="10" t="str">
        <f>'Test Cases'!D6</f>
        <v>POST</v>
      </c>
      <c r="D20" s="10" t="str">
        <f>'Test Cases'!E6</f>
        <v>/api/auth/register</v>
      </c>
      <c r="E20" s="10" t="str">
        <f>'Test Cases'!P6</f>
        <v>UNEXECUTED</v>
      </c>
    </row>
    <row r="21" spans="1:5" ht="18" customHeight="1" x14ac:dyDescent="0.25">
      <c r="A21" s="10" t="str">
        <f>'Test Cases'!A7</f>
        <v>TC_REG_02</v>
      </c>
      <c r="B21" s="10" t="str">
        <f>'Test Cases'!B7</f>
        <v>[Register] Verify register fails with duplicate email</v>
      </c>
      <c r="C21" s="10" t="str">
        <f>'Test Cases'!D7</f>
        <v>POST</v>
      </c>
      <c r="D21" s="10" t="str">
        <f>'Test Cases'!E7</f>
        <v>/api/auth/register</v>
      </c>
      <c r="E21" s="10" t="str">
        <f>'Test Cases'!P7</f>
        <v>UNEXECUTED</v>
      </c>
    </row>
    <row r="22" spans="1:5" ht="18" customHeight="1" x14ac:dyDescent="0.25">
      <c r="A22" s="10" t="str">
        <f>'Test Cases'!A8</f>
        <v>TC_REG_03</v>
      </c>
      <c r="B22" s="10" t="str">
        <f>'Test Cases'!B8</f>
        <v>[Verify OTP] Verify email successfully with correct OTP</v>
      </c>
      <c r="C22" s="10" t="str">
        <f>'Test Cases'!D8</f>
        <v>POST</v>
      </c>
      <c r="D22" s="10" t="str">
        <f>'Test Cases'!E8</f>
        <v>/api/auth/verify-email</v>
      </c>
      <c r="E22" s="10" t="str">
        <f>'Test Cases'!P8</f>
        <v>UNEXECUTED</v>
      </c>
    </row>
    <row r="23" spans="1:5" ht="18" customHeight="1" x14ac:dyDescent="0.25">
      <c r="A23" s="10" t="str">
        <f>'Test Cases'!A9</f>
        <v>TC_REG_04</v>
      </c>
      <c r="B23" s="10" t="str">
        <f>'Test Cases'!B9</f>
        <v>[Verify OTP] Verify email fails with wrong/expired OTP</v>
      </c>
      <c r="C23" s="10" t="str">
        <f>'Test Cases'!D9</f>
        <v>POST</v>
      </c>
      <c r="D23" s="10" t="str">
        <f>'Test Cases'!E9</f>
        <v>/api/auth/verify-email</v>
      </c>
      <c r="E23" s="10" t="str">
        <f>'Test Cases'!P9</f>
        <v>UNEXECUTED</v>
      </c>
    </row>
    <row r="24" spans="1:5" ht="18" customHeight="1" x14ac:dyDescent="0.25">
      <c r="A24" s="10" t="str">
        <f>'Test Cases'!A10</f>
        <v>TC_PWD_01</v>
      </c>
      <c r="B24" s="10" t="str">
        <f>'Test Cases'!B10</f>
        <v>[Forgot Password] Verify OTP is sent for valid email</v>
      </c>
      <c r="C24" s="10" t="str">
        <f>'Test Cases'!D10</f>
        <v>POST</v>
      </c>
      <c r="D24" s="10" t="str">
        <f>'Test Cases'!E10</f>
        <v>/api/auth/forgot-password</v>
      </c>
      <c r="E24" s="10" t="str">
        <f>'Test Cases'!P10</f>
        <v>UNEXECUTED</v>
      </c>
    </row>
    <row r="25" spans="1:5" ht="18" customHeight="1" x14ac:dyDescent="0.25">
      <c r="A25" s="10" t="str">
        <f>'Test Cases'!A11</f>
        <v>TC_PWD_02</v>
      </c>
      <c r="B25" s="10" t="str">
        <f>'Test Cases'!B11</f>
        <v>[Forgot Password] Verify fails for non-existent email</v>
      </c>
      <c r="C25" s="10" t="str">
        <f>'Test Cases'!D11</f>
        <v>POST</v>
      </c>
      <c r="D25" s="10" t="str">
        <f>'Test Cases'!E11</f>
        <v>/api/auth/forgot-password</v>
      </c>
      <c r="E25" s="10" t="str">
        <f>'Test Cases'!P11</f>
        <v>UNEXECUTED</v>
      </c>
    </row>
    <row r="26" spans="1:5" ht="18" customHeight="1" x14ac:dyDescent="0.25">
      <c r="A26" s="10" t="str">
        <f>'Test Cases'!A12</f>
        <v>TC_PWD_03</v>
      </c>
      <c r="B26" s="10" t="str">
        <f>'Test Cases'!B12</f>
        <v>[Set Password] Verify reset password successfully with valid OTP</v>
      </c>
      <c r="C26" s="10" t="str">
        <f>'Test Cases'!D12</f>
        <v>POST</v>
      </c>
      <c r="D26" s="10" t="str">
        <f>'Test Cases'!E12</f>
        <v>/api/auth/set-password</v>
      </c>
      <c r="E26" s="10" t="str">
        <f>'Test Cases'!P12</f>
        <v>UNEXECUTED</v>
      </c>
    </row>
    <row r="27" spans="1:5" ht="18" customHeight="1" x14ac:dyDescent="0.25">
      <c r="A27" s="10" t="str">
        <f>'Test Cases'!A13</f>
        <v>TC_PWD_04</v>
      </c>
      <c r="B27" s="10" t="str">
        <f>'Test Cases'!B13</f>
        <v>[Set Password] Verify reset password fails with wrong OTP</v>
      </c>
      <c r="C27" s="10" t="str">
        <f>'Test Cases'!D13</f>
        <v>POST</v>
      </c>
      <c r="D27" s="10" t="str">
        <f>'Test Cases'!E13</f>
        <v>/api/auth/set-password</v>
      </c>
      <c r="E27" s="10" t="str">
        <f>'Test Cases'!P13</f>
        <v>UNEXECUTED</v>
      </c>
    </row>
    <row r="28" spans="1:5" ht="18" customHeight="1" x14ac:dyDescent="0.25">
      <c r="A28" s="10" t="str">
        <f>'Test Cases'!A14</f>
        <v>TC_USR_01</v>
      </c>
      <c r="B28" s="10" t="str">
        <f>'Test Cases'!B14</f>
        <v>[Profile] Verify get profile successfully with valid JWT Token</v>
      </c>
      <c r="C28" s="10" t="str">
        <f>'Test Cases'!D14</f>
        <v>GET</v>
      </c>
      <c r="D28" s="10" t="str">
        <f>'Test Cases'!E14</f>
        <v>/api/user/profile</v>
      </c>
      <c r="E28" s="10" t="str">
        <f>'Test Cases'!P14</f>
        <v>UNEXECUTED</v>
      </c>
    </row>
    <row r="29" spans="1:5" ht="18" customHeight="1" x14ac:dyDescent="0.25">
      <c r="A29" s="10" t="str">
        <f>'Test Cases'!A15</f>
        <v>TC_USR_02</v>
      </c>
      <c r="B29" s="10" t="str">
        <f>'Test Cases'!B15</f>
        <v>[Profile] Verify get profile is rejected without JWT Token</v>
      </c>
      <c r="C29" s="10" t="str">
        <f>'Test Cases'!D15</f>
        <v>GET</v>
      </c>
      <c r="D29" s="10" t="str">
        <f>'Test Cases'!E15</f>
        <v>/api/user/profile</v>
      </c>
      <c r="E29" s="10" t="str">
        <f>'Test Cases'!P15</f>
        <v>UNEXECUTED</v>
      </c>
    </row>
    <row r="30" spans="1:5" ht="18" customHeight="1" x14ac:dyDescent="0.25">
      <c r="A30" s="10" t="str">
        <f>'Test Cases'!A16</f>
        <v>TC_USR_03</v>
      </c>
      <c r="B30" s="10" t="str">
        <f>'Test Cases'!B16</f>
        <v>[Change Password] Verify change password successfully with correct old password</v>
      </c>
      <c r="C30" s="10" t="str">
        <f>'Test Cases'!D16</f>
        <v>POST</v>
      </c>
      <c r="D30" s="10" t="str">
        <f>'Test Cases'!E16</f>
        <v>/api/user/change-password</v>
      </c>
      <c r="E30" s="10" t="str">
        <f>'Test Cases'!P16</f>
        <v>UNEXECUTED</v>
      </c>
    </row>
    <row r="31" spans="1:5" ht="18" customHeight="1" x14ac:dyDescent="0.25">
      <c r="A31" s="10" t="str">
        <f>'Test Cases'!A17</f>
        <v>TC_USR_04</v>
      </c>
      <c r="B31" s="10" t="str">
        <f>'Test Cases'!B17</f>
        <v>[Change Password] Verify change password fails with wrong old password</v>
      </c>
      <c r="C31" s="10" t="str">
        <f>'Test Cases'!D17</f>
        <v>POST</v>
      </c>
      <c r="D31" s="10" t="str">
        <f>'Test Cases'!E17</f>
        <v>/api/user/change-password</v>
      </c>
      <c r="E31" s="10" t="str">
        <f>'Test Cases'!P17</f>
        <v>UNEXECUTED</v>
      </c>
    </row>
    <row r="32" spans="1:5" ht="18" customHeight="1" x14ac:dyDescent="0.25">
      <c r="A32" s="10" t="str">
        <f>'Test Cases'!A18</f>
        <v>TC_USR_05</v>
      </c>
      <c r="B32" s="10" t="str">
        <f>'Test Cases'!B18</f>
        <v>[Complete Google Account] Verify complete profile for first-time Google user</v>
      </c>
      <c r="C32" s="10" t="str">
        <f>'Test Cases'!D18</f>
        <v>POST</v>
      </c>
      <c r="D32" s="10" t="str">
        <f>'Test Cases'!E18</f>
        <v>/api/user/complete-google-account</v>
      </c>
      <c r="E32" s="10" t="str">
        <f>'Test Cases'!P18</f>
        <v>UNEXECUTED</v>
      </c>
    </row>
  </sheetData>
  <mergeCells count="5">
    <mergeCell ref="A1:L1"/>
    <mergeCell ref="A2:L2"/>
    <mergeCell ref="A4:F4"/>
    <mergeCell ref="H4:L4"/>
    <mergeCell ref="A14:L14"/>
  </mergeCells>
  <conditionalFormatting sqref="E16:E32">
    <cfRule type="cellIs" dxfId="5" priority="1" stopIfTrue="1" operator="equal">
      <formula>"PASSED"</formula>
    </cfRule>
    <cfRule type="cellIs" dxfId="4" priority="2" stopIfTrue="1" operator="equal">
      <formula>"FAILED"</formula>
    </cfRule>
    <cfRule type="cellIs" dxfId="3" priority="3" stopIfTrue="1" operator="equal">
      <formula>"UNEXECUTED"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10CE9-B4E6-0D4F-9E53-CC128B650CD3}">
  <dimension ref="A1:T18"/>
  <sheetViews>
    <sheetView tabSelected="1" topLeftCell="A8" zoomScale="55" zoomScaleNormal="55" workbookViewId="0">
      <selection activeCell="G13" sqref="G13"/>
    </sheetView>
  </sheetViews>
  <sheetFormatPr defaultColWidth="10.875" defaultRowHeight="18.75" x14ac:dyDescent="0.25"/>
  <cols>
    <col min="1" max="1" width="15.5" style="1" customWidth="1"/>
    <col min="2" max="2" width="60.5" style="1" customWidth="1"/>
    <col min="3" max="3" width="49.75" style="1" customWidth="1"/>
    <col min="4" max="4" width="12.375" style="1" customWidth="1"/>
    <col min="5" max="5" width="39.25" style="1" customWidth="1"/>
    <col min="6" max="6" width="36.375" style="1" customWidth="1"/>
    <col min="7" max="7" width="48.375" style="1" customWidth="1"/>
    <col min="8" max="8" width="22.375" style="1" bestFit="1" customWidth="1"/>
    <col min="9" max="9" width="31.5" style="1" customWidth="1"/>
    <col min="10" max="10" width="36.5" style="1" customWidth="1"/>
    <col min="11" max="11" width="73.375" style="1" customWidth="1"/>
    <col min="12" max="12" width="20" style="1" bestFit="1" customWidth="1"/>
    <col min="13" max="13" width="22" style="1" bestFit="1" customWidth="1"/>
    <col min="14" max="14" width="30.375" style="1" bestFit="1" customWidth="1"/>
    <col min="15" max="15" width="42" style="1" customWidth="1"/>
    <col min="16" max="16" width="23.625" style="1" bestFit="1" customWidth="1"/>
    <col min="17" max="17" width="23.5" style="1" customWidth="1"/>
    <col min="18" max="18" width="17.5" style="1" bestFit="1" customWidth="1"/>
    <col min="19" max="19" width="16" style="1" bestFit="1" customWidth="1"/>
    <col min="20" max="20" width="18.875" style="1" bestFit="1" customWidth="1"/>
    <col min="21" max="16384" width="10.875" style="1"/>
  </cols>
  <sheetData>
    <row r="1" spans="1:20" s="14" customFormat="1" ht="34.5" customHeight="1" x14ac:dyDescent="0.25">
      <c r="A1" s="14" t="s">
        <v>4</v>
      </c>
      <c r="B1" s="14" t="s">
        <v>14</v>
      </c>
      <c r="C1" s="14" t="s">
        <v>15</v>
      </c>
      <c r="D1" s="14" t="s">
        <v>16</v>
      </c>
      <c r="E1" s="14" t="s">
        <v>0</v>
      </c>
      <c r="F1" s="14" t="s">
        <v>17</v>
      </c>
      <c r="G1" s="14" t="s">
        <v>18</v>
      </c>
      <c r="H1" s="14" t="s">
        <v>19</v>
      </c>
      <c r="I1" s="14" t="s">
        <v>20</v>
      </c>
      <c r="J1" s="14" t="s">
        <v>21</v>
      </c>
      <c r="K1" s="14" t="s">
        <v>22</v>
      </c>
      <c r="L1" s="14" t="s">
        <v>23</v>
      </c>
      <c r="M1" s="14" t="s">
        <v>24</v>
      </c>
      <c r="N1" s="14" t="s">
        <v>25</v>
      </c>
      <c r="O1" s="14" t="s">
        <v>26</v>
      </c>
      <c r="P1" s="14" t="s">
        <v>27</v>
      </c>
      <c r="Q1" s="14" t="s">
        <v>10</v>
      </c>
      <c r="R1" s="14" t="s">
        <v>11</v>
      </c>
      <c r="S1" s="14" t="s">
        <v>12</v>
      </c>
      <c r="T1" s="14" t="s">
        <v>13</v>
      </c>
    </row>
    <row r="2" spans="1:20" ht="108.75" customHeight="1" x14ac:dyDescent="0.25">
      <c r="A2" s="23" t="s">
        <v>29</v>
      </c>
      <c r="B2" s="23" t="s">
        <v>30</v>
      </c>
      <c r="C2" s="23" t="s">
        <v>31</v>
      </c>
      <c r="D2" s="23" t="s">
        <v>3</v>
      </c>
      <c r="E2" s="24" t="s">
        <v>32</v>
      </c>
      <c r="F2" s="25" t="s">
        <v>28</v>
      </c>
      <c r="G2" s="26" t="s">
        <v>137</v>
      </c>
      <c r="H2" s="23">
        <v>200</v>
      </c>
      <c r="I2" s="23" t="s">
        <v>33</v>
      </c>
      <c r="J2" s="23" t="s">
        <v>28</v>
      </c>
      <c r="K2" s="25" t="s">
        <v>34</v>
      </c>
      <c r="L2" s="23"/>
      <c r="M2" s="23"/>
      <c r="N2" s="23"/>
      <c r="O2" s="25"/>
      <c r="P2" s="23" t="s">
        <v>5</v>
      </c>
      <c r="Q2" s="23" t="s">
        <v>35</v>
      </c>
      <c r="R2" s="27">
        <v>46204</v>
      </c>
      <c r="S2" s="23"/>
      <c r="T2" s="27"/>
    </row>
    <row r="3" spans="1:20" ht="153.75" customHeight="1" x14ac:dyDescent="0.25">
      <c r="A3" s="23" t="s">
        <v>36</v>
      </c>
      <c r="B3" s="23" t="s">
        <v>37</v>
      </c>
      <c r="C3" s="23" t="s">
        <v>38</v>
      </c>
      <c r="D3" s="23" t="s">
        <v>3</v>
      </c>
      <c r="E3" s="24" t="s">
        <v>32</v>
      </c>
      <c r="F3" s="23" t="s">
        <v>28</v>
      </c>
      <c r="G3" s="23" t="s">
        <v>39</v>
      </c>
      <c r="H3" s="23">
        <v>401</v>
      </c>
      <c r="I3" s="23" t="s">
        <v>40</v>
      </c>
      <c r="J3" s="23" t="s">
        <v>28</v>
      </c>
      <c r="K3" s="28" t="s">
        <v>41</v>
      </c>
      <c r="L3" s="23"/>
      <c r="M3" s="23"/>
      <c r="N3" s="23"/>
      <c r="O3" s="28"/>
      <c r="P3" s="23" t="s">
        <v>5</v>
      </c>
      <c r="Q3" s="23" t="s">
        <v>35</v>
      </c>
      <c r="R3" s="27">
        <v>46204</v>
      </c>
      <c r="S3" s="23"/>
      <c r="T3" s="23"/>
    </row>
    <row r="4" spans="1:20" ht="153.75" customHeight="1" x14ac:dyDescent="0.25">
      <c r="A4" s="23" t="s">
        <v>42</v>
      </c>
      <c r="B4" s="23" t="s">
        <v>43</v>
      </c>
      <c r="C4" s="23" t="s">
        <v>44</v>
      </c>
      <c r="D4" s="23" t="s">
        <v>3</v>
      </c>
      <c r="E4" s="24" t="s">
        <v>45</v>
      </c>
      <c r="F4" s="23" t="s">
        <v>28</v>
      </c>
      <c r="G4" s="23" t="s">
        <v>46</v>
      </c>
      <c r="H4" s="23">
        <v>200</v>
      </c>
      <c r="I4" s="23" t="s">
        <v>47</v>
      </c>
      <c r="J4" s="23" t="s">
        <v>28</v>
      </c>
      <c r="K4" s="25" t="s">
        <v>138</v>
      </c>
      <c r="L4" s="23"/>
      <c r="M4" s="23"/>
      <c r="N4" s="23"/>
      <c r="O4" s="28"/>
      <c r="P4" s="23" t="s">
        <v>5</v>
      </c>
      <c r="Q4" s="23" t="s">
        <v>35</v>
      </c>
      <c r="R4" s="27">
        <v>46204</v>
      </c>
      <c r="S4" s="23"/>
      <c r="T4" s="23"/>
    </row>
    <row r="5" spans="1:20" ht="153.75" customHeight="1" x14ac:dyDescent="0.25">
      <c r="A5" s="23" t="s">
        <v>48</v>
      </c>
      <c r="B5" s="23" t="s">
        <v>49</v>
      </c>
      <c r="C5" s="23" t="s">
        <v>50</v>
      </c>
      <c r="D5" s="23" t="s">
        <v>3</v>
      </c>
      <c r="E5" s="24" t="s">
        <v>45</v>
      </c>
      <c r="F5" s="23" t="s">
        <v>28</v>
      </c>
      <c r="G5" s="23" t="s">
        <v>51</v>
      </c>
      <c r="H5" s="23">
        <v>401</v>
      </c>
      <c r="I5" s="23" t="s">
        <v>52</v>
      </c>
      <c r="J5" s="23" t="s">
        <v>28</v>
      </c>
      <c r="K5" s="25" t="s">
        <v>146</v>
      </c>
      <c r="L5" s="23"/>
      <c r="M5" s="23"/>
      <c r="N5" s="23"/>
      <c r="O5" s="28"/>
      <c r="P5" s="23" t="s">
        <v>5</v>
      </c>
      <c r="Q5" s="23" t="s">
        <v>35</v>
      </c>
      <c r="R5" s="27">
        <v>46204</v>
      </c>
      <c r="S5" s="23"/>
      <c r="T5" s="23"/>
    </row>
    <row r="6" spans="1:20" ht="153.75" customHeight="1" x14ac:dyDescent="0.25">
      <c r="A6" s="23" t="s">
        <v>53</v>
      </c>
      <c r="B6" s="23" t="s">
        <v>54</v>
      </c>
      <c r="C6" s="23" t="s">
        <v>55</v>
      </c>
      <c r="D6" s="23" t="s">
        <v>3</v>
      </c>
      <c r="E6" s="24" t="s">
        <v>56</v>
      </c>
      <c r="F6" s="23" t="s">
        <v>28</v>
      </c>
      <c r="G6" s="26" t="s">
        <v>139</v>
      </c>
      <c r="H6" s="23">
        <v>200</v>
      </c>
      <c r="I6" s="23" t="s">
        <v>57</v>
      </c>
      <c r="J6" s="23" t="s">
        <v>28</v>
      </c>
      <c r="K6" s="25" t="s">
        <v>147</v>
      </c>
      <c r="L6" s="23"/>
      <c r="M6" s="23"/>
      <c r="N6" s="23"/>
      <c r="O6" s="28"/>
      <c r="P6" s="23" t="s">
        <v>5</v>
      </c>
      <c r="Q6" s="23" t="s">
        <v>35</v>
      </c>
      <c r="R6" s="27">
        <v>46204</v>
      </c>
      <c r="S6" s="23"/>
      <c r="T6" s="23"/>
    </row>
    <row r="7" spans="1:20" ht="153.75" customHeight="1" x14ac:dyDescent="0.25">
      <c r="A7" s="23" t="s">
        <v>58</v>
      </c>
      <c r="B7" s="23" t="s">
        <v>59</v>
      </c>
      <c r="C7" s="23" t="s">
        <v>60</v>
      </c>
      <c r="D7" s="23" t="s">
        <v>3</v>
      </c>
      <c r="E7" s="24" t="s">
        <v>56</v>
      </c>
      <c r="F7" s="23" t="s">
        <v>28</v>
      </c>
      <c r="G7" s="26" t="s">
        <v>140</v>
      </c>
      <c r="H7" s="23">
        <v>400</v>
      </c>
      <c r="I7" s="23" t="s">
        <v>61</v>
      </c>
      <c r="J7" s="23" t="s">
        <v>28</v>
      </c>
      <c r="K7" s="25" t="s">
        <v>148</v>
      </c>
      <c r="L7" s="23"/>
      <c r="M7" s="23"/>
      <c r="N7" s="23"/>
      <c r="O7" s="28"/>
      <c r="P7" s="23" t="s">
        <v>5</v>
      </c>
      <c r="Q7" s="23" t="s">
        <v>35</v>
      </c>
      <c r="R7" s="27">
        <v>46204</v>
      </c>
      <c r="S7" s="23"/>
      <c r="T7" s="23"/>
    </row>
    <row r="8" spans="1:20" ht="153.75" customHeight="1" x14ac:dyDescent="0.25">
      <c r="A8" s="23" t="s">
        <v>62</v>
      </c>
      <c r="B8" s="23" t="s">
        <v>63</v>
      </c>
      <c r="C8" s="23" t="s">
        <v>64</v>
      </c>
      <c r="D8" s="23" t="s">
        <v>3</v>
      </c>
      <c r="E8" s="24" t="s">
        <v>65</v>
      </c>
      <c r="F8" s="23" t="s">
        <v>28</v>
      </c>
      <c r="G8" s="23" t="s">
        <v>66</v>
      </c>
      <c r="H8" s="23">
        <v>200</v>
      </c>
      <c r="I8" s="23" t="s">
        <v>67</v>
      </c>
      <c r="J8" s="23" t="s">
        <v>28</v>
      </c>
      <c r="K8" s="25" t="s">
        <v>149</v>
      </c>
      <c r="L8" s="23"/>
      <c r="M8" s="23"/>
      <c r="N8" s="23"/>
      <c r="O8" s="28"/>
      <c r="P8" s="23" t="s">
        <v>5</v>
      </c>
      <c r="Q8" s="23" t="s">
        <v>35</v>
      </c>
      <c r="R8" s="27">
        <v>46204</v>
      </c>
      <c r="S8" s="23"/>
      <c r="T8" s="23"/>
    </row>
    <row r="9" spans="1:20" ht="153.75" customHeight="1" x14ac:dyDescent="0.25">
      <c r="A9" s="23" t="s">
        <v>68</v>
      </c>
      <c r="B9" s="23" t="s">
        <v>69</v>
      </c>
      <c r="C9" s="23" t="s">
        <v>70</v>
      </c>
      <c r="D9" s="23" t="s">
        <v>3</v>
      </c>
      <c r="E9" s="24" t="s">
        <v>65</v>
      </c>
      <c r="F9" s="23" t="s">
        <v>28</v>
      </c>
      <c r="G9" s="23" t="s">
        <v>71</v>
      </c>
      <c r="H9" s="23">
        <v>400</v>
      </c>
      <c r="I9" s="23" t="s">
        <v>72</v>
      </c>
      <c r="J9" s="23" t="s">
        <v>28</v>
      </c>
      <c r="K9" s="25" t="s">
        <v>150</v>
      </c>
      <c r="L9" s="23"/>
      <c r="M9" s="23"/>
      <c r="N9" s="23"/>
      <c r="O9" s="28"/>
      <c r="P9" s="23" t="s">
        <v>5</v>
      </c>
      <c r="Q9" s="23" t="s">
        <v>35</v>
      </c>
      <c r="R9" s="27">
        <v>46204</v>
      </c>
      <c r="S9" s="23"/>
      <c r="T9" s="23"/>
    </row>
    <row r="10" spans="1:20" ht="153.75" customHeight="1" x14ac:dyDescent="0.25">
      <c r="A10" s="23" t="s">
        <v>74</v>
      </c>
      <c r="B10" s="23" t="s">
        <v>75</v>
      </c>
      <c r="C10" s="23" t="s">
        <v>76</v>
      </c>
      <c r="D10" s="23" t="s">
        <v>3</v>
      </c>
      <c r="E10" s="24" t="s">
        <v>77</v>
      </c>
      <c r="F10" s="23" t="s">
        <v>28</v>
      </c>
      <c r="G10" s="23" t="s">
        <v>78</v>
      </c>
      <c r="H10" s="23">
        <v>200</v>
      </c>
      <c r="I10" s="23" t="s">
        <v>79</v>
      </c>
      <c r="J10" s="23" t="s">
        <v>28</v>
      </c>
      <c r="K10" s="25" t="s">
        <v>151</v>
      </c>
      <c r="L10" s="23"/>
      <c r="M10" s="23"/>
      <c r="N10" s="23"/>
      <c r="O10" s="28"/>
      <c r="P10" s="23" t="s">
        <v>5</v>
      </c>
      <c r="Q10" s="23" t="s">
        <v>35</v>
      </c>
      <c r="R10" s="27">
        <v>46204</v>
      </c>
      <c r="S10" s="23"/>
      <c r="T10" s="23"/>
    </row>
    <row r="11" spans="1:20" ht="153.75" customHeight="1" x14ac:dyDescent="0.25">
      <c r="A11" s="23" t="s">
        <v>80</v>
      </c>
      <c r="B11" s="23" t="s">
        <v>81</v>
      </c>
      <c r="C11" s="23" t="s">
        <v>82</v>
      </c>
      <c r="D11" s="23" t="s">
        <v>3</v>
      </c>
      <c r="E11" s="24" t="s">
        <v>77</v>
      </c>
      <c r="F11" s="23" t="s">
        <v>28</v>
      </c>
      <c r="G11" s="23" t="s">
        <v>83</v>
      </c>
      <c r="H11" s="23">
        <v>404</v>
      </c>
      <c r="I11" s="23" t="s">
        <v>84</v>
      </c>
      <c r="J11" s="23" t="s">
        <v>28</v>
      </c>
      <c r="K11" s="25" t="s">
        <v>152</v>
      </c>
      <c r="L11" s="23"/>
      <c r="M11" s="23"/>
      <c r="N11" s="23"/>
      <c r="O11" s="28"/>
      <c r="P11" s="23" t="s">
        <v>5</v>
      </c>
      <c r="Q11" s="23" t="s">
        <v>35</v>
      </c>
      <c r="R11" s="27">
        <v>46204</v>
      </c>
      <c r="S11" s="23"/>
      <c r="T11" s="23"/>
    </row>
    <row r="12" spans="1:20" ht="153.75" customHeight="1" x14ac:dyDescent="0.25">
      <c r="A12" s="23" t="s">
        <v>85</v>
      </c>
      <c r="B12" s="23" t="s">
        <v>86</v>
      </c>
      <c r="C12" s="23" t="s">
        <v>87</v>
      </c>
      <c r="D12" s="23" t="s">
        <v>3</v>
      </c>
      <c r="E12" s="24" t="s">
        <v>88</v>
      </c>
      <c r="F12" s="23" t="s">
        <v>28</v>
      </c>
      <c r="G12" s="26" t="s">
        <v>141</v>
      </c>
      <c r="H12" s="23">
        <v>200</v>
      </c>
      <c r="I12" s="23" t="s">
        <v>89</v>
      </c>
      <c r="J12" s="23" t="s">
        <v>28</v>
      </c>
      <c r="K12" s="25" t="s">
        <v>158</v>
      </c>
      <c r="L12" s="23"/>
      <c r="M12" s="23"/>
      <c r="N12" s="23"/>
      <c r="O12" s="28"/>
      <c r="P12" s="23" t="s">
        <v>5</v>
      </c>
      <c r="Q12" s="23" t="s">
        <v>35</v>
      </c>
      <c r="R12" s="27">
        <v>46204</v>
      </c>
      <c r="S12" s="23"/>
      <c r="T12" s="23"/>
    </row>
    <row r="13" spans="1:20" ht="153.75" customHeight="1" x14ac:dyDescent="0.25">
      <c r="A13" s="23" t="s">
        <v>90</v>
      </c>
      <c r="B13" s="23" t="s">
        <v>91</v>
      </c>
      <c r="C13" s="23" t="s">
        <v>92</v>
      </c>
      <c r="D13" s="23" t="s">
        <v>3</v>
      </c>
      <c r="E13" s="24" t="s">
        <v>88</v>
      </c>
      <c r="F13" s="23" t="s">
        <v>28</v>
      </c>
      <c r="G13" s="26" t="s">
        <v>142</v>
      </c>
      <c r="H13" s="23">
        <v>400</v>
      </c>
      <c r="I13" s="23" t="s">
        <v>72</v>
      </c>
      <c r="J13" s="23" t="s">
        <v>28</v>
      </c>
      <c r="K13" s="28" t="s">
        <v>73</v>
      </c>
      <c r="L13" s="23"/>
      <c r="M13" s="23"/>
      <c r="N13" s="23"/>
      <c r="O13" s="28"/>
      <c r="P13" s="23" t="s">
        <v>5</v>
      </c>
      <c r="Q13" s="23" t="s">
        <v>35</v>
      </c>
      <c r="R13" s="27">
        <v>46204</v>
      </c>
      <c r="S13" s="23"/>
      <c r="T13" s="23"/>
    </row>
    <row r="14" spans="1:20" ht="153.75" customHeight="1" x14ac:dyDescent="0.25">
      <c r="A14" s="23" t="s">
        <v>93</v>
      </c>
      <c r="B14" s="23" t="s">
        <v>94</v>
      </c>
      <c r="C14" s="23" t="s">
        <v>95</v>
      </c>
      <c r="D14" s="23" t="s">
        <v>2</v>
      </c>
      <c r="E14" s="24" t="s">
        <v>96</v>
      </c>
      <c r="F14" s="26" t="s">
        <v>97</v>
      </c>
      <c r="G14" s="23" t="s">
        <v>98</v>
      </c>
      <c r="H14" s="23">
        <v>200</v>
      </c>
      <c r="I14" s="23" t="s">
        <v>99</v>
      </c>
      <c r="J14" s="23" t="s">
        <v>28</v>
      </c>
      <c r="K14" s="25" t="s">
        <v>157</v>
      </c>
      <c r="L14" s="23"/>
      <c r="M14" s="23"/>
      <c r="N14" s="23"/>
      <c r="O14" s="28"/>
      <c r="P14" s="23" t="s">
        <v>5</v>
      </c>
      <c r="Q14" s="23" t="s">
        <v>35</v>
      </c>
      <c r="R14" s="27">
        <v>46204</v>
      </c>
      <c r="S14" s="23"/>
      <c r="T14" s="23"/>
    </row>
    <row r="15" spans="1:20" ht="153.75" customHeight="1" x14ac:dyDescent="0.25">
      <c r="A15" s="23" t="s">
        <v>100</v>
      </c>
      <c r="B15" s="23" t="s">
        <v>101</v>
      </c>
      <c r="C15" s="23" t="s">
        <v>102</v>
      </c>
      <c r="D15" s="23" t="s">
        <v>2</v>
      </c>
      <c r="E15" s="24" t="s">
        <v>96</v>
      </c>
      <c r="F15" s="23" t="s">
        <v>98</v>
      </c>
      <c r="G15" s="23" t="s">
        <v>98</v>
      </c>
      <c r="H15" s="23">
        <v>401</v>
      </c>
      <c r="I15" s="23" t="s">
        <v>103</v>
      </c>
      <c r="J15" s="23" t="s">
        <v>28</v>
      </c>
      <c r="K15" s="25" t="s">
        <v>156</v>
      </c>
      <c r="L15" s="23"/>
      <c r="M15" s="23"/>
      <c r="N15" s="23"/>
      <c r="O15" s="28"/>
      <c r="P15" s="23" t="s">
        <v>5</v>
      </c>
      <c r="Q15" s="23" t="s">
        <v>35</v>
      </c>
      <c r="R15" s="27">
        <v>46204</v>
      </c>
      <c r="S15" s="23"/>
      <c r="T15" s="23"/>
    </row>
    <row r="16" spans="1:20" ht="153.75" customHeight="1" x14ac:dyDescent="0.25">
      <c r="A16" s="23" t="s">
        <v>104</v>
      </c>
      <c r="B16" s="23" t="s">
        <v>105</v>
      </c>
      <c r="C16" s="23" t="s">
        <v>106</v>
      </c>
      <c r="D16" s="23" t="s">
        <v>3</v>
      </c>
      <c r="E16" s="24" t="s">
        <v>107</v>
      </c>
      <c r="F16" s="26" t="s">
        <v>97</v>
      </c>
      <c r="G16" s="26" t="s">
        <v>143</v>
      </c>
      <c r="H16" s="23">
        <v>200</v>
      </c>
      <c r="I16" s="23" t="s">
        <v>108</v>
      </c>
      <c r="J16" s="23" t="s">
        <v>28</v>
      </c>
      <c r="K16" s="25" t="s">
        <v>155</v>
      </c>
      <c r="L16" s="23"/>
      <c r="M16" s="23"/>
      <c r="N16" s="23"/>
      <c r="O16" s="28"/>
      <c r="P16" s="23" t="s">
        <v>5</v>
      </c>
      <c r="Q16" s="23" t="s">
        <v>35</v>
      </c>
      <c r="R16" s="27">
        <v>46204</v>
      </c>
      <c r="S16" s="23"/>
      <c r="T16" s="23"/>
    </row>
    <row r="17" spans="1:20" ht="153.75" customHeight="1" x14ac:dyDescent="0.25">
      <c r="A17" s="23" t="s">
        <v>109</v>
      </c>
      <c r="B17" s="23" t="s">
        <v>110</v>
      </c>
      <c r="C17" s="23" t="s">
        <v>106</v>
      </c>
      <c r="D17" s="23" t="s">
        <v>3</v>
      </c>
      <c r="E17" s="24" t="s">
        <v>107</v>
      </c>
      <c r="F17" s="26" t="s">
        <v>97</v>
      </c>
      <c r="G17" s="26" t="s">
        <v>144</v>
      </c>
      <c r="H17" s="23">
        <v>400</v>
      </c>
      <c r="I17" s="23" t="s">
        <v>111</v>
      </c>
      <c r="J17" s="23" t="s">
        <v>28</v>
      </c>
      <c r="K17" s="25" t="s">
        <v>154</v>
      </c>
      <c r="L17" s="23"/>
      <c r="M17" s="23"/>
      <c r="N17" s="23"/>
      <c r="O17" s="28"/>
      <c r="P17" s="23" t="s">
        <v>5</v>
      </c>
      <c r="Q17" s="23" t="s">
        <v>35</v>
      </c>
      <c r="R17" s="27">
        <v>46204</v>
      </c>
      <c r="S17" s="23"/>
      <c r="T17" s="23"/>
    </row>
    <row r="18" spans="1:20" ht="153.75" customHeight="1" x14ac:dyDescent="0.25">
      <c r="A18" s="23" t="s">
        <v>112</v>
      </c>
      <c r="B18" s="23" t="s">
        <v>113</v>
      </c>
      <c r="C18" s="23" t="s">
        <v>114</v>
      </c>
      <c r="D18" s="23" t="s">
        <v>3</v>
      </c>
      <c r="E18" s="24" t="s">
        <v>115</v>
      </c>
      <c r="F18" s="26" t="s">
        <v>97</v>
      </c>
      <c r="G18" s="26" t="s">
        <v>145</v>
      </c>
      <c r="H18" s="23">
        <v>200</v>
      </c>
      <c r="I18" s="23" t="s">
        <v>116</v>
      </c>
      <c r="J18" s="23" t="s">
        <v>28</v>
      </c>
      <c r="K18" s="25" t="s">
        <v>153</v>
      </c>
      <c r="L18" s="23"/>
      <c r="M18" s="23"/>
      <c r="N18" s="23"/>
      <c r="O18" s="28"/>
      <c r="P18" s="23" t="s">
        <v>5</v>
      </c>
      <c r="Q18" s="23" t="s">
        <v>35</v>
      </c>
      <c r="R18" s="27">
        <v>46204</v>
      </c>
      <c r="S18" s="23"/>
      <c r="T18" s="23"/>
    </row>
  </sheetData>
  <phoneticPr fontId="2" type="noConversion"/>
  <conditionalFormatting sqref="P2:P18">
    <cfRule type="cellIs" dxfId="2" priority="1" operator="equal">
      <formula>#REF!</formula>
    </cfRule>
    <cfRule type="cellIs" dxfId="1" priority="2" operator="equal">
      <formula>#REF!</formula>
    </cfRule>
    <cfRule type="cellIs" dxfId="0" priority="3" operator="equal">
      <formula>#REF!</formula>
    </cfRule>
  </conditionalFormatting>
  <dataValidations count="1">
    <dataValidation type="list" allowBlank="1" showInputMessage="1" showErrorMessage="1" sqref="S2:S18 P2:Q18 D2:E18" xr:uid="{5860A65E-EBCF-E748-AD3C-0D8871204E36}">
      <formula1>#REF!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Trinh</dc:creator>
  <cp:lastModifiedBy>trung hieu</cp:lastModifiedBy>
  <dcterms:created xsi:type="dcterms:W3CDTF">2023-11-15T14:29:11Z</dcterms:created>
  <dcterms:modified xsi:type="dcterms:W3CDTF">2026-07-01T09:31:07Z</dcterms:modified>
</cp:coreProperties>
</file>